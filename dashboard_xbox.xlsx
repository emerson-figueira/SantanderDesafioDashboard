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Curso Santander\desafio-excel\"/>
    </mc:Choice>
  </mc:AlternateContent>
  <xr:revisionPtr revIDLastSave="0" documentId="13_ncr:1_{BA6BBE56-87F6-42B0-B746-C320B4083521}" xr6:coauthVersionLast="47" xr6:coauthVersionMax="47" xr10:uidLastSave="{00000000-0000-0000-0000-000000000000}"/>
  <bookViews>
    <workbookView xWindow="-120" yWindow="-120" windowWidth="20730" windowHeight="11040" tabRatio="210" firstSheet="3" activeTab="3" xr2:uid="{28DD5B76-0634-4F87-BE60-8BFA7EF2E23B}"/>
  </bookViews>
  <sheets>
    <sheet name="A̳ssets" sheetId="1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3" l="1"/>
  <c r="D20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<sst xmlns="http://schemas.openxmlformats.org/spreadsheetml/2006/main" count="2022" uniqueCount="324">
  <si>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</si>
  <si>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</si>
  <si>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</si>
  <si>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</si>
  <si>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</si>
  <si>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</si>
  <si>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</si>
  <si>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</si>
  <si>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</si>
  <si>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</si>
  <si>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</si>
  <si>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</si>
  <si>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</si>
  <si>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</si>
  <si>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</si>
  <si>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</si>
  <si>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</si>
  <si>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</si>
  <si>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</si>
  <si>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</si>
  <si>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</si>
  <si>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</si>
  <si>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</si>
  <si>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</si>
  <si>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</si>
  <si>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</si>
  <si>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</si>
  <si>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</si>
  <si>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</si>
  <si>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</si>
  <si>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</si>
  <si>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</si>
  <si>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</si>
  <si>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</si>
  <si>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</si>
  <si>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</si>
  <si>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</si>
  <si>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</si>
  <si>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</si>
  <si>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</si>
  <si>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</si>
  <si>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</si>
  <si>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</si>
  <si>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</si>
  <si>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</si>
  <si>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</si>
  <si>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</si>
  <si>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</si>
  <si>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</si>
  <si>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</si>
  <si>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</si>
  <si>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</si>
  <si>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</si>
  <si>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</si>
  <si>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</si>
  <si>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</si>
  <si>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</si>
  <si>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</si>
  <si>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</si>
  <si>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</si>
  <si>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</si>
  <si>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</si>
  <si>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</si>
  <si>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</si>
  <si>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</si>
  <si>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</si>
  <si>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</si>
  <si>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</si>
  <si>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</si>
  <si>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</si>
  <si>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</si>
  <si>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</si>
  <si>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</si>
  <si>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</si>
  <si>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</si>
  <si>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</si>
  <si>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</si>
  <si>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</si>
  <si>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</si>
  <si>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</si>
  <si>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</si>
  <si>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</si>
  <si>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</si>
  <si>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</si>
  <si>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</si>
  <si>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</si>
  <si>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</si>
  <si>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</si>
  <si>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</si>
  <si>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</si>
  <si>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</si>
  <si>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</si>
  <si>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</si>
  <si>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</si>
  <si>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</si>
  <si>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</si>
  <si>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</si>
  <si>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</si>
  <si>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</si>
  <si>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</si>
  <si>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</si>
  <si>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</si>
  <si>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</si>
  <si>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</si>
  <si>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</si>
  <si>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</si>
  <si>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</si>
  <si>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</si>
  <si>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</si>
  <si>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</si>
  <si>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</si>
  <si>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</si>
  <si>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</si>
  <si>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</si>
  <si>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</si>
  <si>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</si>
  <si>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</si>
  <si>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</si>
  <si>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</si>
  <si>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</si>
  <si>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</si>
  <si>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</si>
  <si>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</si>
  <si>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</si>
  <si>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</si>
  <si>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</si>
  <si>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</si>
  <si>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</si>
  <si>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</si>
  <si>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</si>
  <si>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</si>
  <si>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</si>
  <si>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</si>
  <si>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</si>
  <si>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</si>
  <si>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</si>
  <si>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</si>
  <si>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</si>
  <si>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</si>
  <si>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</si>
  <si>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</si>
  <si>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</si>
  <si>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</si>
  <si>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</si>
  <si>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</si>
  <si>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</si>
  <si>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</si>
  <si>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</si>
  <si>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</si>
  <si>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</si>
  <si>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</si>
  <si>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</si>
  <si>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</si>
  <si>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</si>
  <si>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</si>
  <si>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</si>
  <si>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</si>
  <si>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</si>
  <si>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</si>
  <si>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</si>
  <si>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</si>
  <si>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</si>
  <si>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</si>
  <si>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</si>
  <si>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</si>
  <si>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</si>
  <si>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</si>
  <si>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</si>
  <si>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</si>
  <si>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</si>
  <si>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</si>
  <si>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</si>
  <si>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</si>
  <si>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</si>
  <si>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</si>
  <si>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</si>
  <si>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</si>
  <si>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</si>
  <si>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</si>
  <si>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</si>
  <si>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</si>
  <si>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</si>
  <si>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</si>
  <si>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</si>
  <si>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</si>
  <si>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</si>
  <si>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</si>
  <si>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</si>
  <si>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</si>
  <si>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</si>
  <si>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</si>
  <si>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</si>
  <si>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</si>
  <si>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</si>
  <si>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</si>
  <si>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</si>
  <si>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</si>
  <si>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</si>
  <si>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</si>
  <si>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</si>
  <si>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</si>
  <si>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</si>
  <si>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</si>
  <si>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</si>
  <si>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</si>
  <si>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</si>
  <si>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</si>
  <si>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</si>
  <si>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</si>
  <si>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</si>
  <si>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</si>
  <si>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</si>
  <si>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</si>
  <si>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</si>
  <si>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</si>
  <si>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</si>
  <si>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</si>
  <si>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</si>
  <si>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</si>
  <si>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</si>
  <si>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</si>
  <si>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</si>
  <si>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</si>
  <si>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</si>
  <si>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</si>
  <si>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</si>
  <si>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</si>
  <si>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</si>
  <si>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</si>
  <si>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</si>
  <si>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</si>
  <si>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</si>
  <si>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</si>
  <si>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</si>
  <si>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</si>
  <si>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</si>
  <si>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</si>
  <si>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</si>
  <si>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</si>
  <si>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</si>
  <si>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</si>
  <si>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</si>
  <si>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</si>
  <si>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</si>
  <si>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</si>
  <si>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</si>
  <si>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</si>
  <si>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</si>
  <si>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</si>
  <si>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</si>
  <si>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</si>
  <si>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</si>
  <si>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</si>
  <si>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</si>
  <si>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</si>
  <si>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</si>
  <si>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</si>
  <si>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</si>
  <si>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</si>
  <si>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</si>
  <si>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</si>
  <si>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</si>
  <si>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</si>
  <si>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</si>
  <si>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</si>
  <si>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</si>
  <si>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</si>
  <si>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</si>
  <si>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</si>
  <si>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</si>
  <si>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</si>
  <si>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</si>
  <si>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</si>
  <si>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</si>
  <si>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</si>
  <si>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</si>
  <si>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</si>
  <si>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</si>
  <si>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</si>
  <si>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</si>
  <si>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</si>
  <si>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</si>
  <si>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</si>
  <si>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</si>
  <si>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</si>
  <si>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</si>
  <si>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</si>
  <si>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</si>
  <si>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</si>
  <si>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</si>
  <si>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</si>
  <si>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</si>
  <si>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</si>
  <si>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</si>
  <si>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</si>
  <si>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</si>
  <si>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</si>
  <si>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</si>
  <si>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</si>
  <si>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</si>
  <si>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</si>
  <si>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</si>
  <si>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</si>
  <si>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</si>
  <si>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</si>
  <si>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</si>
  <si>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</si>
  <si>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</si>
  <si>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</si>
  <si>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</si>
  <si>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</si>
  <si>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</si>
  <si>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</si>
  <si>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 respondida através de alguma analise de dados especifica</t>
  </si>
  <si>
    <r>
      <t xml:space="preserve">Pergunta de Negócio 1 :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</si>
  <si>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Rótulos de Linha</t>
  </si>
  <si>
    <t>Total Geral</t>
  </si>
  <si>
    <t>Soma de Total Value</t>
  </si>
  <si>
    <r>
      <t>Pergunta de Negócio 2 :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não é por auto renovação</t>
    </r>
  </si>
  <si>
    <t>XBOX GAMES PASS SUBSCRIPTIONS SALES</t>
  </si>
  <si>
    <t>Pergunta de Negócios 3 : Total de Vendas de Assinaturas do EA Play</t>
  </si>
  <si>
    <t>Soma de EA Play Season Pass</t>
  </si>
  <si>
    <t>Pergunta de Negócios 4: Total de Vendas Assinaturas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</si>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</sst>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165" fontId="0" fillId="0" borderId="0" xfId="0" applyNumberFormat="1"/>
    <xf numFmtId="44" fontId="0" fillId="0" borderId="0" xfId="2" applyFont="1"/>
    <xf numFmtId="0" fontId="4" fillId="0" borderId="2" xfId="1" applyFont="1" applyBorder="1"/>
    <xf numFmtId="0" fontId="0" fillId="0" borderId="2" xfId="0" applyBorder="1"/>
    <xf numFmtId="0" fontId="4" fillId="0" borderId="2" xfId="1" applyFont="1" applyBorder="1" applyAlignment="1">
      <alignment horizontal="left" indent="6"/>
    </xf>
    <xf numFmtId="0" fontId="5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50E660C9-0BDA-4BD0-94DF-D82EEE044470}">
      <tableStyleElement type="wholeTable" dxfId="1"/>
      <tableStyleElement type="headerRow" dxfId="0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[base.xlsx]C̳álculos!tbl_annual_total</c:name>
    <c:fmtId val="6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2481257943160947E-2"/>
          <c:y val="0.10562272271946539"/>
          <c:w val="0.95751874205683907"/>
          <c:h val="0.843451062269193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C̳álculos!$A$8:$A$10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C̳álculos!$B$8:$B$10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4-496B-A183-CF3FDA59F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9989951"/>
        <c:axId val="239983711"/>
      </c:barChart>
      <c:catAx>
        <c:axId val="239989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983711"/>
        <c:crosses val="autoZero"/>
        <c:auto val="1"/>
        <c:lblAlgn val="ctr"/>
        <c:lblOffset val="100"/>
        <c:noMultiLvlLbl val="0"/>
      </c:catAx>
      <c:valAx>
        <c:axId val="23998371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3998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107156</xdr:colOff>
      <xdr:row>0</xdr:row>
      <xdr:rowOff>154780</xdr:rowOff>
    </xdr:from>
    <xdr:to>
      <xdr:col>2</xdr:col>
      <xdr:colOff>420434</xdr:colOff>
      <xdr:row>1</xdr:row>
      <xdr:rowOff>202404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83363A4-F691-4451-947B-E2C3A4DE06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" t="14118" r="71535" b="14118"/>
        <a:stretch>
          <a:fillRect/>
        </a:stretch>
      </xdr:blipFill>
      <xdr:spPr>
        <a:xfrm>
          <a:off x="1940719" y="154780"/>
          <a:ext cx="622840" cy="7262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83345</xdr:rowOff>
    </xdr:from>
    <xdr:to>
      <xdr:col>0</xdr:col>
      <xdr:colOff>1828800</xdr:colOff>
      <xdr:row>17</xdr:row>
      <xdr:rowOff>23813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19E2D5FF-DED3-412E-91C6-9110C3328F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38251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202406</xdr:colOff>
      <xdr:row>4</xdr:row>
      <xdr:rowOff>176213</xdr:rowOff>
    </xdr:from>
    <xdr:to>
      <xdr:col>10</xdr:col>
      <xdr:colOff>523875</xdr:colOff>
      <xdr:row>11</xdr:row>
      <xdr:rowOff>97630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F0CA54C5-90D0-18DD-55BB-D6359323B68C}"/>
            </a:ext>
          </a:extLst>
        </xdr:cNvPr>
        <xdr:cNvGrpSpPr/>
      </xdr:nvGrpSpPr>
      <xdr:grpSpPr>
        <a:xfrm>
          <a:off x="2035969" y="1331119"/>
          <a:ext cx="5488781" cy="1504949"/>
          <a:chOff x="1952625" y="1023937"/>
          <a:chExt cx="5488781" cy="1504949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709A6967-8CC7-4539-0A18-6EF6B8F791C3}"/>
              </a:ext>
            </a:extLst>
          </xdr:cNvPr>
          <xdr:cNvSpPr/>
        </xdr:nvSpPr>
        <xdr:spPr>
          <a:xfrm>
            <a:off x="1964531" y="1047750"/>
            <a:ext cx="5476875" cy="141684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0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C160BF43-7013-4E9A-9CF5-116A6982B19D}"/>
              </a:ext>
            </a:extLst>
          </xdr:cNvPr>
          <xdr:cNvSpPr/>
        </xdr:nvSpPr>
        <xdr:spPr>
          <a:xfrm>
            <a:off x="3498056" y="1497806"/>
            <a:ext cx="3181350" cy="907256"/>
          </a:xfrm>
          <a:prstGeom prst="roundRect">
            <a:avLst>
              <a:gd name="adj" fmla="val 6583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2A5DA601-28A5-4763-AEF2-F1B0B59E5A63}" type="TxLink">
              <a:rPr lang="en-US" sz="3600" b="1" i="0" u="none" strike="noStrike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R$ 600,00</a:t>
            </a:fld>
            <a:endParaRPr lang="pt-BR" sz="3600" b="1">
              <a:solidFill>
                <a:srgbClr val="5BF6A8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C572C342-187A-4106-A443-22DB609559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90751" y="1309686"/>
            <a:ext cx="1219200" cy="121920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A72BDA0A-12D7-E65D-9FBA-A724C00D3A2E}"/>
              </a:ext>
            </a:extLst>
          </xdr:cNvPr>
          <xdr:cNvSpPr/>
        </xdr:nvSpPr>
        <xdr:spPr>
          <a:xfrm>
            <a:off x="1952625" y="1023937"/>
            <a:ext cx="5488781" cy="452438"/>
          </a:xfrm>
          <a:prstGeom prst="round2SameRect">
            <a:avLst>
              <a:gd name="adj1" fmla="val 42983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 EA Play Season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140493</xdr:colOff>
      <xdr:row>4</xdr:row>
      <xdr:rowOff>176213</xdr:rowOff>
    </xdr:from>
    <xdr:to>
      <xdr:col>20</xdr:col>
      <xdr:colOff>330993</xdr:colOff>
      <xdr:row>11</xdr:row>
      <xdr:rowOff>33338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5FC36403-0B5A-D27A-EE83-A534EA24C87C}"/>
            </a:ext>
          </a:extLst>
        </xdr:cNvPr>
        <xdr:cNvGrpSpPr/>
      </xdr:nvGrpSpPr>
      <xdr:grpSpPr>
        <a:xfrm>
          <a:off x="7748587" y="1331119"/>
          <a:ext cx="5488781" cy="1440657"/>
          <a:chOff x="7629525" y="1021556"/>
          <a:chExt cx="5488781" cy="1440657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1FDB4A80-1E7B-CB3E-FD62-7AAF6AF855C3}"/>
              </a:ext>
            </a:extLst>
          </xdr:cNvPr>
          <xdr:cNvSpPr/>
        </xdr:nvSpPr>
        <xdr:spPr>
          <a:xfrm>
            <a:off x="7641431" y="1045369"/>
            <a:ext cx="5476875" cy="141684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30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7B730571-28DA-6A30-F42E-423E13A62D1C}"/>
              </a:ext>
            </a:extLst>
          </xdr:cNvPr>
          <xdr:cNvSpPr/>
        </xdr:nvSpPr>
        <xdr:spPr>
          <a:xfrm>
            <a:off x="9555956" y="1531144"/>
            <a:ext cx="3181350" cy="907256"/>
          </a:xfrm>
          <a:prstGeom prst="roundRect">
            <a:avLst>
              <a:gd name="adj" fmla="val 6583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245C65B7-F485-4363-B000-15617F8CAFE7}" type="TxLink">
              <a:rPr lang="en-US" sz="3600" b="1" i="0" u="none" strike="noStrike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R$ 940,00 </a:t>
            </a:fld>
            <a:endParaRPr lang="pt-BR" sz="3600" b="1">
              <a:solidFill>
                <a:srgbClr val="5BF6A8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A68827CC-3B81-A046-B2D0-EEA78C1B7643}"/>
              </a:ext>
            </a:extLst>
          </xdr:cNvPr>
          <xdr:cNvSpPr/>
        </xdr:nvSpPr>
        <xdr:spPr>
          <a:xfrm>
            <a:off x="7629525" y="1021556"/>
            <a:ext cx="5488781" cy="452438"/>
          </a:xfrm>
          <a:prstGeom prst="round2SameRect">
            <a:avLst>
              <a:gd name="adj1" fmla="val 42983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 Minecraft Season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674D832B-91EB-4255-AEBB-9C23CADCB894}"/>
              </a:ext>
            </a:extLst>
          </xdr:cNvPr>
          <xdr:cNvGrpSpPr/>
        </xdr:nvGrpSpPr>
        <xdr:grpSpPr>
          <a:xfrm>
            <a:off x="7772400" y="1521619"/>
            <a:ext cx="1549476" cy="752476"/>
            <a:chOff x="3495675" y="5400674"/>
            <a:chExt cx="1549476" cy="75247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CAB84BE4-10B8-A74C-4C5B-76E9F476F79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FD0EF87E-69A9-8DE5-B376-37701DD3DDD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214312</xdr:colOff>
      <xdr:row>12</xdr:row>
      <xdr:rowOff>19049</xdr:rowOff>
    </xdr:from>
    <xdr:to>
      <xdr:col>20</xdr:col>
      <xdr:colOff>381000</xdr:colOff>
      <xdr:row>27</xdr:row>
      <xdr:rowOff>59532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BA5EE6BC-1C5F-351F-0EDB-EEF213D49923}"/>
            </a:ext>
          </a:extLst>
        </xdr:cNvPr>
        <xdr:cNvGrpSpPr/>
      </xdr:nvGrpSpPr>
      <xdr:grpSpPr>
        <a:xfrm>
          <a:off x="2047875" y="2947987"/>
          <a:ext cx="11239500" cy="2874170"/>
          <a:chOff x="2035969" y="2638424"/>
          <a:chExt cx="11108531" cy="2874170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5C8A7C9D-61DE-DF52-8F70-0D629C4BCD37}"/>
              </a:ext>
            </a:extLst>
          </xdr:cNvPr>
          <xdr:cNvGrpSpPr/>
        </xdr:nvGrpSpPr>
        <xdr:grpSpPr>
          <a:xfrm>
            <a:off x="2035969" y="2702719"/>
            <a:ext cx="11072812" cy="2809875"/>
            <a:chOff x="1970676" y="1107281"/>
            <a:chExt cx="5357813" cy="280987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1592F5D7-292B-C8A5-E851-4C8708B7EA08}"/>
                </a:ext>
              </a:extLst>
            </xdr:cNvPr>
            <xdr:cNvSpPr/>
          </xdr:nvSpPr>
          <xdr:spPr>
            <a:xfrm>
              <a:off x="1970676" y="1107281"/>
              <a:ext cx="5357813" cy="2809875"/>
            </a:xfrm>
            <a:prstGeom prst="roundRect">
              <a:avLst>
                <a:gd name="adj" fmla="val 480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C8AF2ABC-AE1D-40DB-8084-165EAB536056}"/>
                </a:ext>
              </a:extLst>
            </xdr:cNvPr>
            <xdr:cNvGraphicFramePr>
              <a:graphicFrameLocks/>
            </xdr:cNvGraphicFramePr>
          </xdr:nvGraphicFramePr>
          <xdr:xfrm>
            <a:off x="2005241" y="1559719"/>
            <a:ext cx="5248353" cy="227409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1" name="Retângulo: Cantos Superiores Arredondados 30">
            <a:extLst>
              <a:ext uri="{FF2B5EF4-FFF2-40B4-BE49-F238E27FC236}">
                <a16:creationId xmlns:a16="http://schemas.microsoft.com/office/drawing/2014/main" id="{996D76E5-03A1-478D-8A4F-B39F4D32C4F6}"/>
              </a:ext>
            </a:extLst>
          </xdr:cNvPr>
          <xdr:cNvSpPr/>
        </xdr:nvSpPr>
        <xdr:spPr>
          <a:xfrm>
            <a:off x="2045494" y="2638424"/>
            <a:ext cx="11099006" cy="452438"/>
          </a:xfrm>
          <a:prstGeom prst="round2SameRect">
            <a:avLst>
              <a:gd name="adj1" fmla="val 42983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 XBOX Game Pass</a:t>
            </a:r>
          </a:p>
          <a:p>
            <a:pPr algn="ctr"/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154782</xdr:colOff>
      <xdr:row>0</xdr:row>
      <xdr:rowOff>166688</xdr:rowOff>
    </xdr:from>
    <xdr:to>
      <xdr:col>0</xdr:col>
      <xdr:colOff>850107</xdr:colOff>
      <xdr:row>1</xdr:row>
      <xdr:rowOff>183357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6848CBE5-9E39-48E3-9ADE-AA07E3FD0339}"/>
            </a:ext>
          </a:extLst>
        </xdr:cNvPr>
        <xdr:cNvSpPr/>
      </xdr:nvSpPr>
      <xdr:spPr>
        <a:xfrm>
          <a:off x="154782" y="166688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</xdr:col>
      <xdr:colOff>214312</xdr:colOff>
      <xdr:row>3</xdr:row>
      <xdr:rowOff>11906</xdr:rowOff>
    </xdr:from>
    <xdr:to>
      <xdr:col>10</xdr:col>
      <xdr:colOff>369094</xdr:colOff>
      <xdr:row>4</xdr:row>
      <xdr:rowOff>71437</xdr:rowOff>
    </xdr:to>
    <xdr:sp macro="" textlink="">
      <xdr:nvSpPr>
        <xdr:cNvPr id="34" name="Retângulo 33">
          <a:extLst>
            <a:ext uri="{FF2B5EF4-FFF2-40B4-BE49-F238E27FC236}">
              <a16:creationId xmlns:a16="http://schemas.microsoft.com/office/drawing/2014/main" id="{BAC00CFB-3850-408D-8AA2-1772D4E369C1}"/>
            </a:ext>
          </a:extLst>
        </xdr:cNvPr>
        <xdr:cNvSpPr/>
      </xdr:nvSpPr>
      <xdr:spPr>
        <a:xfrm>
          <a:off x="2047875" y="964406"/>
          <a:ext cx="5322094" cy="2619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chemeClr val="tx1">
                  <a:lumMod val="65000"/>
                  <a:lumOff val="35000"/>
                </a:schemeClr>
              </a:solidFill>
            </a:rPr>
            <a:t>Calculation Period</a:t>
          </a:r>
          <a:r>
            <a:rPr lang="pt-BR" sz="1100" b="1" baseline="0">
              <a:solidFill>
                <a:schemeClr val="tx1">
                  <a:lumMod val="65000"/>
                  <a:lumOff val="35000"/>
                </a:schemeClr>
              </a:solidFill>
            </a:rPr>
            <a:t> : 01/01/2024 - 31/12/2024 : Update Date : 25/12/2024 09:30:00</a:t>
          </a:r>
          <a:endParaRPr lang="pt-BR" sz="11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152400</xdr:colOff>
      <xdr:row>3</xdr:row>
      <xdr:rowOff>152400</xdr:rowOff>
    </xdr:from>
    <xdr:to>
      <xdr:col>0</xdr:col>
      <xdr:colOff>1712119</xdr:colOff>
      <xdr:row>4</xdr:row>
      <xdr:rowOff>188119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C5A4B032-5517-4B0A-B7C2-5A33F23D8FF3}"/>
            </a:ext>
          </a:extLst>
        </xdr:cNvPr>
        <xdr:cNvSpPr/>
      </xdr:nvSpPr>
      <xdr:spPr>
        <a:xfrm>
          <a:off x="152400" y="1104900"/>
          <a:ext cx="1559719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&gt; Bem-Vindo Liana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erson Figueira" refreshedDate="46003.947062962965" createdVersion="8" refreshedVersion="8" minRefreshableVersion="3" recordCount="295" xr:uid="{EE4D5BE3-241E-4806-923E-8F827128D63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573110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91EAE-268F-43C9-BECB-1E23095B1A85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26:B3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4408F3-C8F6-4CB4-B88D-2476BD96A8EE}" name="tbl_ea_season_pass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6:B2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B880C-9F41-48D4-943D-6F61816950D9}" name="tbl_an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7:B1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6938847-3438-47CA-A8BF-3A9F248DF6C7}" sourceName="Subscription Type">
  <pivotTables>
    <pivotTable tabId="3" name="tbl_annual_total"/>
    <pivotTable tabId="3" name="tbl_ea_season_pass"/>
    <pivotTable tabId="3" name="Tabela dinâmica3"/>
  </pivotTables>
  <data>
    <tabular pivotCacheId="35731107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F08CA9E-F5BC-4EDC-8F15-283F1EFA80E5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C1" sqref="C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C1" sqref="C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D30"/>
  <sheetViews>
    <sheetView showGridLines="0" topLeftCell="A16" workbookViewId="0">
      <selection activeCell="C1" sqref="C1"/>
    </sheetView>
  </sheetViews>
  <sheetFormatPr defaultRowHeight="15" x14ac:dyDescent="0.25"/>
  <cols>
    <col min="1" max="1" width="18.42578125" bestFit="1" customWidth="1"/>
    <col min="2" max="2" width="35.140625" bestFit="1" customWidth="1"/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1:2" x14ac:dyDescent="0.25">
      <c r="A1" t="s">
        <v>313</v>
      </c>
    </row>
    <row r="2" spans="1:2" x14ac:dyDescent="0.25">
      <c r="A2" t="s">
        <v>314</v>
      </c>
    </row>
    <row r="3" spans="1:2" x14ac:dyDescent="0.25">
      <c r="A3" t="s">
        <v>318</v>
      </c>
    </row>
    <row r="5" spans="1:2" x14ac:dyDescent="0.25">
      <c r="A5" s="12" t="s">
        <v>16</v>
      </c>
      <c r="B5" t="s">
        <v>24</v>
      </c>
    </row>
    <row r="7" spans="1:2" x14ac:dyDescent="0.25">
      <c r="A7" s="12" t="s">
        <v>315</v>
      </c>
      <c r="B7" t="s">
        <v>317</v>
      </c>
    </row>
    <row r="8" spans="1:2" x14ac:dyDescent="0.25">
      <c r="A8" s="13" t="s">
        <v>23</v>
      </c>
      <c r="B8" s="14">
        <v>217</v>
      </c>
    </row>
    <row r="9" spans="1:2" x14ac:dyDescent="0.25">
      <c r="A9" s="13" t="s">
        <v>19</v>
      </c>
      <c r="B9" s="14">
        <v>1537</v>
      </c>
    </row>
    <row r="10" spans="1:2" x14ac:dyDescent="0.25">
      <c r="A10" s="13" t="s">
        <v>316</v>
      </c>
      <c r="B10" s="14">
        <v>1754</v>
      </c>
    </row>
    <row r="12" spans="1:2" x14ac:dyDescent="0.25">
      <c r="A12" s="13" t="s">
        <v>320</v>
      </c>
    </row>
    <row r="14" spans="1:2" x14ac:dyDescent="0.25">
      <c r="A14" s="12" t="s">
        <v>16</v>
      </c>
      <c r="B14" t="s">
        <v>24</v>
      </c>
    </row>
    <row r="16" spans="1:2" x14ac:dyDescent="0.25">
      <c r="A16" s="12" t="s">
        <v>315</v>
      </c>
      <c r="B16" t="s">
        <v>321</v>
      </c>
    </row>
    <row r="17" spans="1:4" x14ac:dyDescent="0.25">
      <c r="A17" s="13" t="s">
        <v>22</v>
      </c>
      <c r="B17" s="15">
        <v>0</v>
      </c>
    </row>
    <row r="18" spans="1:4" x14ac:dyDescent="0.25">
      <c r="A18" s="13" t="s">
        <v>26</v>
      </c>
      <c r="B18" s="15">
        <v>0</v>
      </c>
    </row>
    <row r="19" spans="1:4" x14ac:dyDescent="0.25">
      <c r="A19" s="13" t="s">
        <v>18</v>
      </c>
      <c r="B19" s="15">
        <v>600</v>
      </c>
    </row>
    <row r="20" spans="1:4" x14ac:dyDescent="0.25">
      <c r="A20" s="13" t="s">
        <v>316</v>
      </c>
      <c r="B20" s="15">
        <v>600</v>
      </c>
      <c r="D20" s="16">
        <f>GETPIVOTDATA("EA Play Season Pass
Price",$A$16)</f>
        <v>600</v>
      </c>
    </row>
    <row r="22" spans="1:4" x14ac:dyDescent="0.25">
      <c r="A22" s="13" t="s">
        <v>322</v>
      </c>
    </row>
    <row r="24" spans="1:4" x14ac:dyDescent="0.25">
      <c r="A24" s="12" t="s">
        <v>16</v>
      </c>
      <c r="B24" t="s">
        <v>24</v>
      </c>
    </row>
    <row r="26" spans="1:4" x14ac:dyDescent="0.25">
      <c r="A26" s="12" t="s">
        <v>315</v>
      </c>
      <c r="B26" t="s">
        <v>323</v>
      </c>
    </row>
    <row r="27" spans="1:4" x14ac:dyDescent="0.25">
      <c r="A27" s="13" t="s">
        <v>22</v>
      </c>
      <c r="B27" s="14">
        <v>0</v>
      </c>
    </row>
    <row r="28" spans="1:4" x14ac:dyDescent="0.25">
      <c r="A28" s="13" t="s">
        <v>26</v>
      </c>
      <c r="B28" s="14">
        <v>540</v>
      </c>
    </row>
    <row r="29" spans="1:4" x14ac:dyDescent="0.25">
      <c r="A29" s="13" t="s">
        <v>18</v>
      </c>
      <c r="B29" s="14">
        <v>400</v>
      </c>
    </row>
    <row r="30" spans="1:4" x14ac:dyDescent="0.25">
      <c r="A30" s="13" t="s">
        <v>316</v>
      </c>
      <c r="B30" s="14">
        <v>940</v>
      </c>
      <c r="D30" s="17">
        <f>GETPIVOTDATA("Minecraft Season Pass Price",$A$26)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T149"/>
  <sheetViews>
    <sheetView showGridLines="0" showRowColHeaders="0" tabSelected="1" zoomScale="80" zoomScaleNormal="80" workbookViewId="0">
      <selection activeCell="M4" sqref="M4"/>
    </sheetView>
  </sheetViews>
  <sheetFormatPr defaultRowHeight="15" x14ac:dyDescent="0.25"/>
  <cols>
    <col min="1" max="1" width="27.5703125" style="4" customWidth="1"/>
    <col min="2" max="2" width="4.7109375" customWidth="1"/>
    <col min="12" max="12" width="6.5703125" customWidth="1"/>
  </cols>
  <sheetData>
    <row r="1" spans="1:20" ht="53.25" customHeight="1" thickBot="1" x14ac:dyDescent="0.35">
      <c r="C1" s="20" t="s">
        <v>319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9"/>
      <c r="Q1" s="19"/>
      <c r="R1" s="19"/>
      <c r="S1" s="19"/>
      <c r="T1" s="19"/>
    </row>
    <row r="2" spans="1:20" ht="15.75" customHeight="1" thickTop="1" x14ac:dyDescent="0.25"/>
    <row r="3" spans="1:20" ht="5.25" customHeight="1" x14ac:dyDescent="0.25"/>
    <row r="4" spans="1:20" s="7" customFormat="1" ht="15.75" customHeight="1" x14ac:dyDescent="0.25">
      <c r="A4" s="4"/>
      <c r="M4" s="21"/>
    </row>
    <row r="5" spans="1:20" s="7" customFormat="1" ht="18.75" customHeight="1" x14ac:dyDescent="0.25">
      <c r="A5" s="4"/>
    </row>
    <row r="6" spans="1:20" s="7" customFormat="1" ht="22.5" customHeight="1" x14ac:dyDescent="0.25">
      <c r="A6" s="4"/>
    </row>
    <row r="7" spans="1:20" s="7" customFormat="1" ht="22.5" customHeight="1" x14ac:dyDescent="0.25">
      <c r="A7" s="4"/>
    </row>
    <row r="8" spans="1:20" s="7" customFormat="1" ht="15.75" customHeight="1" x14ac:dyDescent="0.25">
      <c r="A8" s="4"/>
    </row>
    <row r="9" spans="1:20" s="7" customFormat="1" x14ac:dyDescent="0.25">
      <c r="A9" s="4"/>
    </row>
    <row r="10" spans="1:20" s="7" customFormat="1" x14ac:dyDescent="0.25">
      <c r="A10" s="4"/>
    </row>
    <row r="11" spans="1:20" s="7" customFormat="1" x14ac:dyDescent="0.25">
      <c r="A11" s="4"/>
    </row>
    <row r="12" spans="1:20" s="7" customFormat="1" x14ac:dyDescent="0.25">
      <c r="A12" s="4"/>
    </row>
    <row r="13" spans="1:20" s="7" customFormat="1" x14ac:dyDescent="0.25">
      <c r="A13" s="4"/>
    </row>
    <row r="14" spans="1:20" s="7" customFormat="1" x14ac:dyDescent="0.25">
      <c r="A14" s="4"/>
    </row>
    <row r="15" spans="1:20" s="7" customFormat="1" x14ac:dyDescent="0.25">
      <c r="A15" s="4"/>
    </row>
    <row r="16" spans="1:20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ht="12.75" customHeigh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Emerson Figueira</cp:lastModifiedBy>
  <dcterms:created xsi:type="dcterms:W3CDTF">2024-12-19T13:13:10Z</dcterms:created>
  <dcterms:modified xsi:type="dcterms:W3CDTF">2025-12-15T00:45:55Z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